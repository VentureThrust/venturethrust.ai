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Praan Robotics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Subscription revenue</t>
        </is>
      </c>
      <c r="B7" s="7" t="n">
        <v>26</v>
      </c>
      <c r="C7" s="7" t="n">
        <v>38</v>
      </c>
      <c r="D7" s="7" t="n">
        <v>54</v>
      </c>
      <c r="E7" s="7" t="n">
        <v>74</v>
      </c>
      <c r="F7" s="7" t="n">
        <v>412</v>
      </c>
      <c r="G7" s="7" t="n">
        <v>918</v>
      </c>
    </row>
    <row r="8">
      <c r="A8" s="8" t="inlineStr">
        <is>
          <t>Gross margin %</t>
        </is>
      </c>
      <c r="B8" s="9" t="n">
        <v>0.478</v>
      </c>
      <c r="C8" s="9" t="n">
        <v>0.502</v>
      </c>
      <c r="D8" s="9" t="n">
        <v>0.528</v>
      </c>
      <c r="E8" s="9" t="n">
        <v>0.551</v>
      </c>
      <c r="F8" s="9" t="n">
        <v>0.598</v>
      </c>
      <c r="G8" s="9" t="n">
        <v>0.641</v>
      </c>
    </row>
    <row r="9">
      <c r="A9" s="6" t="inlineStr">
        <is>
          <t>Fleet and field service</t>
        </is>
      </c>
      <c r="B9" s="7" t="n">
        <v>12</v>
      </c>
      <c r="C9" s="7" t="n">
        <v>17</v>
      </c>
      <c r="D9" s="7" t="n">
        <v>24</v>
      </c>
      <c r="E9" s="7" t="n">
        <v>32</v>
      </c>
      <c r="F9" s="7" t="n">
        <v>168</v>
      </c>
      <c r="G9" s="7" t="n">
        <v>342</v>
      </c>
    </row>
    <row r="10">
      <c r="A10" s="8" t="inlineStr">
        <is>
          <t>People cost</t>
        </is>
      </c>
      <c r="B10" s="10" t="n">
        <v>38</v>
      </c>
      <c r="C10" s="10" t="n">
        <v>44</v>
      </c>
      <c r="D10" s="10" t="n">
        <v>53</v>
      </c>
      <c r="E10" s="10" t="n">
        <v>64</v>
      </c>
      <c r="F10" s="10" t="n">
        <v>322</v>
      </c>
      <c r="G10" s="10" t="n">
        <v>566</v>
      </c>
    </row>
    <row r="11">
      <c r="A11" s="11" t="inlineStr">
        <is>
          <t>Gross profit</t>
        </is>
      </c>
      <c r="B11" s="12">
        <f>(B7)*B8</f>
        <v/>
      </c>
      <c r="C11" s="12">
        <f>(C7)*C8</f>
        <v/>
      </c>
      <c r="D11" s="12">
        <f>(D7)*D8</f>
        <v/>
      </c>
      <c r="E11" s="12">
        <f>(E7)*E8</f>
        <v/>
      </c>
      <c r="F11" s="12">
        <f>(F7)*F8</f>
        <v/>
      </c>
      <c r="G11" s="12">
        <f>(G7)*G8</f>
        <v/>
      </c>
    </row>
    <row r="12">
      <c r="A12" s="13" t="inlineStr">
        <is>
          <t>Total operating cost</t>
        </is>
      </c>
      <c r="B12" s="14">
        <f>B9+B10</f>
        <v/>
      </c>
      <c r="C12" s="14">
        <f>C9+C10</f>
        <v/>
      </c>
      <c r="D12" s="14">
        <f>D9+D10</f>
        <v/>
      </c>
      <c r="E12" s="14">
        <f>E9+E10</f>
        <v/>
      </c>
      <c r="F12" s="14">
        <f>F9+F10</f>
        <v/>
      </c>
      <c r="G12" s="14">
        <f>G9+G10</f>
        <v/>
      </c>
    </row>
    <row r="13">
      <c r="A13" s="11" t="inlineStr">
        <is>
          <t>EBITDA</t>
        </is>
      </c>
      <c r="B13" s="12">
        <f>B11-B12</f>
        <v/>
      </c>
      <c r="C13" s="12">
        <f>C11-C12</f>
        <v/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</row>
    <row r="14">
      <c r="A14" s="13" t="inlineStr">
        <is>
          <t>EBITDA margin</t>
        </is>
      </c>
      <c r="B14" s="15">
        <f>IF((B7)=0,0,B13/(B7))</f>
        <v/>
      </c>
      <c r="C14" s="15">
        <f>IF((C7)=0,0,C13/(C7))</f>
        <v/>
      </c>
      <c r="D14" s="15">
        <f>IF((D7)=0,0,D13/(D7))</f>
        <v/>
      </c>
      <c r="E14" s="15">
        <f>IF((E7)=0,0,E13/(E7))</f>
        <v/>
      </c>
      <c r="F14" s="15">
        <f>IF((F7)=0,0,F13/(F7))</f>
        <v/>
      </c>
      <c r="G14" s="15">
        <f>IF((G7)=0,0,G13/(G7))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</cols>
  <sheetData>
    <row r="1">
      <c r="A1" s="1" t="inlineStr">
        <is>
          <t>Praan Robotics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DEEP LEAP, Cohort 2</t>
        </is>
      </c>
    </row>
    <row r="8">
      <c r="A8" s="8" t="inlineStr">
        <is>
          <t>Robots deployed</t>
        </is>
      </c>
      <c r="B8" s="8" t="inlineStr">
        <is>
          <t>11</t>
        </is>
      </c>
    </row>
    <row r="9">
      <c r="A9" s="6" t="inlineStr">
        <is>
          <t>Warehouses live</t>
        </is>
      </c>
      <c r="B9" s="6" t="inlineStr">
        <is>
          <t>3</t>
        </is>
      </c>
    </row>
    <row r="10">
      <c r="A10" s="8" t="inlineStr">
        <is>
          <t>Annualised revenue</t>
        </is>
      </c>
      <c r="B10" s="8" t="inlineStr">
        <is>
          <t>Rs 2.11 crore</t>
        </is>
      </c>
    </row>
    <row r="11">
      <c r="A11" s="6" t="inlineStr">
        <is>
          <t>Price per robot per month</t>
        </is>
      </c>
      <c r="B11" s="6" t="inlineStr">
        <is>
          <t>Rs 32,000</t>
        </is>
      </c>
    </row>
    <row r="12">
      <c r="A12" s="8" t="inlineStr">
        <is>
          <t>Raising</t>
        </is>
      </c>
      <c r="B12" s="8" t="inlineStr">
        <is>
          <t>Rs 7.5 crore seed</t>
        </is>
      </c>
    </row>
    <row r="13">
      <c r="A13" s="6" t="inlineStr">
        <is>
          <t>Gross margin</t>
        </is>
      </c>
      <c r="B13" s="6" t="inlineStr">
        <is>
          <t>41 percent</t>
        </is>
      </c>
    </row>
    <row r="14">
      <c r="A14" s="8" t="inlineStr">
        <is>
          <t>Monthly burn</t>
        </is>
      </c>
      <c r="B14" s="8" t="inlineStr">
        <is>
          <t>Rs 16.4 lakh</t>
        </is>
      </c>
    </row>
    <row r="15">
      <c r="A15" s="6" t="inlineStr">
        <is>
          <t>Risk</t>
        </is>
      </c>
      <c r="B15" s="6" t="inlineStr">
        <is>
          <t>Field service cost per robot is the number that decides whether this scales.</t>
        </is>
      </c>
    </row>
    <row r="16">
      <c r="A16" s="8" t="inlineStr">
        <is>
          <t>Risk</t>
        </is>
      </c>
      <c r="B16" s="8" t="inlineStr">
        <is>
          <t>Retrofit means every site is slightly different, which resists standardisation.</t>
        </is>
      </c>
    </row>
    <row r="17">
      <c r="A17" s="6" t="inlineStr">
        <is>
          <t>Risk</t>
        </is>
      </c>
      <c r="B17" s="6" t="inlineStr">
        <is>
          <t>Hardware depreciation is carried on the company balance sheet, not the customer's.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