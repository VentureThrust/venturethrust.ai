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3" fontId="0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16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Verdant Climate</t>
        </is>
      </c>
    </row>
    <row r="2">
      <c r="A2" s="2" t="inlineStr">
        <is>
          <t>Financial Model</t>
        </is>
      </c>
    </row>
    <row r="3">
      <c r="A3" s="3" t="inlineStr">
        <is>
          <t>Quarterly build, FY27 to FY29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 (Rs lakh)</t>
        </is>
      </c>
      <c r="B6" s="5" t="inlineStr">
        <is>
          <t>Q1 FY27</t>
        </is>
      </c>
      <c r="C6" s="5" t="inlineStr">
        <is>
          <t>Q2 FY27</t>
        </is>
      </c>
      <c r="D6" s="5" t="inlineStr">
        <is>
          <t>Q3 FY27</t>
        </is>
      </c>
      <c r="E6" s="5" t="inlineStr">
        <is>
          <t>Q4 FY27</t>
        </is>
      </c>
      <c r="F6" s="5" t="inlineStr">
        <is>
          <t>FY28</t>
        </is>
      </c>
      <c r="G6" s="5" t="inlineStr">
        <is>
          <t>FY29</t>
        </is>
      </c>
    </row>
    <row r="7">
      <c r="A7" s="6" t="inlineStr">
        <is>
          <t>Verification revenue</t>
        </is>
      </c>
      <c r="B7" s="7" t="n">
        <v>36</v>
      </c>
      <c r="C7" s="7" t="n">
        <v>48</v>
      </c>
      <c r="D7" s="7" t="n">
        <v>64</v>
      </c>
      <c r="E7" s="7" t="n">
        <v>84</v>
      </c>
      <c r="F7" s="7" t="n">
        <v>468</v>
      </c>
      <c r="G7" s="7" t="n">
        <v>1020</v>
      </c>
    </row>
    <row r="8">
      <c r="A8" s="8" t="inlineStr">
        <is>
          <t>Gross margin %</t>
        </is>
      </c>
      <c r="B8" s="9" t="n">
        <v>0.587</v>
      </c>
      <c r="C8" s="9" t="n">
        <v>0.601</v>
      </c>
      <c r="D8" s="9" t="n">
        <v>0.618</v>
      </c>
      <c r="E8" s="9" t="n">
        <v>0.634</v>
      </c>
      <c r="F8" s="9" t="n">
        <v>0.668</v>
      </c>
      <c r="G8" s="9" t="n">
        <v>0.702</v>
      </c>
    </row>
    <row r="9">
      <c r="A9" s="6" t="inlineStr">
        <is>
          <t>Field operations</t>
        </is>
      </c>
      <c r="B9" s="7" t="n">
        <v>14</v>
      </c>
      <c r="C9" s="7" t="n">
        <v>18</v>
      </c>
      <c r="D9" s="7" t="n">
        <v>23</v>
      </c>
      <c r="E9" s="7" t="n">
        <v>29</v>
      </c>
      <c r="F9" s="7" t="n">
        <v>148</v>
      </c>
      <c r="G9" s="7" t="n">
        <v>296</v>
      </c>
    </row>
    <row r="10">
      <c r="A10" s="8" t="inlineStr">
        <is>
          <t>People cost</t>
        </is>
      </c>
      <c r="B10" s="10" t="n">
        <v>34</v>
      </c>
      <c r="C10" s="10" t="n">
        <v>39</v>
      </c>
      <c r="D10" s="10" t="n">
        <v>47</v>
      </c>
      <c r="E10" s="10" t="n">
        <v>56</v>
      </c>
      <c r="F10" s="10" t="n">
        <v>284</v>
      </c>
      <c r="G10" s="10" t="n">
        <v>498</v>
      </c>
    </row>
    <row r="11">
      <c r="A11" s="11" t="inlineStr">
        <is>
          <t>Gross profit</t>
        </is>
      </c>
      <c r="B11" s="12">
        <f>(B7)*B8</f>
        <v/>
      </c>
      <c r="C11" s="12">
        <f>(C7)*C8</f>
        <v/>
      </c>
      <c r="D11" s="12">
        <f>(D7)*D8</f>
        <v/>
      </c>
      <c r="E11" s="12">
        <f>(E7)*E8</f>
        <v/>
      </c>
      <c r="F11" s="12">
        <f>(F7)*F8</f>
        <v/>
      </c>
      <c r="G11" s="12">
        <f>(G7)*G8</f>
        <v/>
      </c>
    </row>
    <row r="12">
      <c r="A12" s="13" t="inlineStr">
        <is>
          <t>Total operating cost</t>
        </is>
      </c>
      <c r="B12" s="14">
        <f>B9+B10</f>
        <v/>
      </c>
      <c r="C12" s="14">
        <f>C9+C10</f>
        <v/>
      </c>
      <c r="D12" s="14">
        <f>D9+D10</f>
        <v/>
      </c>
      <c r="E12" s="14">
        <f>E9+E10</f>
        <v/>
      </c>
      <c r="F12" s="14">
        <f>F9+F10</f>
        <v/>
      </c>
      <c r="G12" s="14">
        <f>G9+G10</f>
        <v/>
      </c>
    </row>
    <row r="13">
      <c r="A13" s="11" t="inlineStr">
        <is>
          <t>EBITDA</t>
        </is>
      </c>
      <c r="B13" s="12">
        <f>B11-B12</f>
        <v/>
      </c>
      <c r="C13" s="12">
        <f>C11-C12</f>
        <v/>
      </c>
      <c r="D13" s="12">
        <f>D11-D12</f>
        <v/>
      </c>
      <c r="E13" s="12">
        <f>E11-E12</f>
        <v/>
      </c>
      <c r="F13" s="12">
        <f>F11-F12</f>
        <v/>
      </c>
      <c r="G13" s="12">
        <f>G11-G12</f>
        <v/>
      </c>
    </row>
    <row r="14">
      <c r="A14" s="13" t="inlineStr">
        <is>
          <t>EBITDA margin</t>
        </is>
      </c>
      <c r="B14" s="15">
        <f>IF((B7)=0,0,B13/(B7))</f>
        <v/>
      </c>
      <c r="C14" s="15">
        <f>IF((C7)=0,0,C13/(C7))</f>
        <v/>
      </c>
      <c r="D14" s="15">
        <f>IF((D7)=0,0,D13/(D7))</f>
        <v/>
      </c>
      <c r="E14" s="15">
        <f>IF((E7)=0,0,E13/(E7))</f>
        <v/>
      </c>
      <c r="F14" s="15">
        <f>IF((F7)=0,0,F13/(F7))</f>
        <v/>
      </c>
      <c r="G14" s="15">
        <f>IF((G7)=0,0,G13/(G7))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5" customWidth="1" min="1" max="1"/>
    <col width="46" customWidth="1" min="2" max="2"/>
  </cols>
  <sheetData>
    <row r="1">
      <c r="A1" s="1" t="inlineStr">
        <is>
          <t>Verdant Climate</t>
        </is>
      </c>
    </row>
    <row r="2">
      <c r="A2" s="2" t="inlineStr">
        <is>
          <t>Key assumptions</t>
        </is>
      </c>
    </row>
    <row r="3">
      <c r="A3" s="3" t="inlineStr">
        <is>
          <t>Drivers behind the model on the previous sheet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Assumption</t>
        </is>
      </c>
      <c r="B6" s="5" t="inlineStr">
        <is>
          <t>Value</t>
        </is>
      </c>
    </row>
    <row r="7">
      <c r="A7" s="6" t="inlineStr">
        <is>
          <t>Programme</t>
        </is>
      </c>
      <c r="B7" s="6" t="inlineStr">
        <is>
          <t>Business Incubation Programme</t>
        </is>
      </c>
    </row>
    <row r="8">
      <c r="A8" s="8" t="inlineStr">
        <is>
          <t>Hectares under contract</t>
        </is>
      </c>
      <c r="B8" s="8" t="inlineStr">
        <is>
          <t>4,100</t>
        </is>
      </c>
    </row>
    <row r="9">
      <c r="A9" s="6" t="inlineStr">
        <is>
          <t>Smallholders covered</t>
        </is>
      </c>
      <c r="B9" s="6" t="inlineStr">
        <is>
          <t>2,600</t>
        </is>
      </c>
    </row>
    <row r="10">
      <c r="A10" s="8" t="inlineStr">
        <is>
          <t>Annualised revenue</t>
        </is>
      </c>
      <c r="B10" s="8" t="inlineStr">
        <is>
          <t>Rs 1.42 crore</t>
        </is>
      </c>
    </row>
    <row r="11">
      <c r="A11" s="6" t="inlineStr">
        <is>
          <t>LIVE seed assistance</t>
        </is>
      </c>
      <c r="B11" s="6" t="inlineStr">
        <is>
          <t>Rs 25 lakh</t>
        </is>
      </c>
    </row>
    <row r="12">
      <c r="A12" s="8" t="inlineStr">
        <is>
          <t>Raising</t>
        </is>
      </c>
      <c r="B12" s="8" t="inlineStr">
        <is>
          <t>Rs 6.5 crore seed</t>
        </is>
      </c>
    </row>
    <row r="13">
      <c r="A13" s="6" t="inlineStr">
        <is>
          <t>Gross margin</t>
        </is>
      </c>
      <c r="B13" s="6" t="inlineStr">
        <is>
          <t>58 percent</t>
        </is>
      </c>
    </row>
    <row r="14">
      <c r="A14" s="8" t="inlineStr">
        <is>
          <t>Monthly burn</t>
        </is>
      </c>
      <c r="B14" s="8" t="inlineStr">
        <is>
          <t>Rs 11.8 lakh</t>
        </is>
      </c>
    </row>
    <row r="15">
      <c r="A15" s="6" t="inlineStr">
        <is>
          <t>Risk</t>
        </is>
      </c>
      <c r="B15" s="6" t="inlineStr">
        <is>
          <t>Registry acceptance of the methodology is not yet final on two of three projects.</t>
        </is>
      </c>
    </row>
    <row r="16">
      <c r="A16" s="8" t="inlineStr">
        <is>
          <t>Risk</t>
        </is>
      </c>
      <c r="B16" s="8" t="inlineStr">
        <is>
          <t>Voluntary carbon prices are volatile and buyer concentration is high.</t>
        </is>
      </c>
    </row>
    <row r="17">
      <c r="A17" s="6" t="inlineStr">
        <is>
          <t>Risk</t>
        </is>
      </c>
      <c r="B17" s="6" t="inlineStr">
        <is>
          <t>Field sampling cost rises if registries tighten ground truthing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2026-08-02T10:09:37Z</dcterms:created>
  <dcterms:modified xmlns:dcterms="http://purl.org/dc/terms/" xmlns:xsi="http://www.w3.org/2001/XMLSchema-instance" xsi:type="dcterms:W3CDTF">2026-08-02T10:09:37Z</dcterms:modified>
</cp:coreProperties>
</file>