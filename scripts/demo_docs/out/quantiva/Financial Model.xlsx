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Quantiva</t>
        </is>
      </c>
    </row>
    <row r="2">
      <c r="A2" s="2" t="inlineStr">
        <is>
          <t>Financial Model</t>
        </is>
      </c>
    </row>
    <row r="3">
      <c r="A3" s="3" t="inlineStr">
        <is>
          <t>Quarterly build, FY27 to FY29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 (Rs lakh)</t>
        </is>
      </c>
      <c r="B6" s="5" t="inlineStr">
        <is>
          <t>Q1 FY27</t>
        </is>
      </c>
      <c r="C6" s="5" t="inlineStr">
        <is>
          <t>Q2 FY27</t>
        </is>
      </c>
      <c r="D6" s="5" t="inlineStr">
        <is>
          <t>Q3 FY27</t>
        </is>
      </c>
      <c r="E6" s="5" t="inlineStr">
        <is>
          <t>Q4 FY27</t>
        </is>
      </c>
      <c r="F6" s="5" t="inlineStr">
        <is>
          <t>FY28</t>
        </is>
      </c>
      <c r="G6" s="5" t="inlineStr">
        <is>
          <t>FY29</t>
        </is>
      </c>
    </row>
    <row r="7">
      <c r="A7" s="6" t="inlineStr">
        <is>
          <t>Engagement revenue</t>
        </is>
      </c>
      <c r="B7" s="7" t="n">
        <v>8</v>
      </c>
      <c r="C7" s="7" t="n">
        <v>14</v>
      </c>
      <c r="D7" s="7" t="n">
        <v>22</v>
      </c>
      <c r="E7" s="7" t="n">
        <v>34</v>
      </c>
      <c r="F7" s="7" t="n">
        <v>196</v>
      </c>
      <c r="G7" s="7" t="n">
        <v>388</v>
      </c>
    </row>
    <row r="8">
      <c r="A8" s="8" t="inlineStr">
        <is>
          <t>Platform revenue</t>
        </is>
      </c>
      <c r="B8" s="9" t="n">
        <v>0</v>
      </c>
      <c r="C8" s="9" t="n">
        <v>0</v>
      </c>
      <c r="D8" s="9" t="n">
        <v>9</v>
      </c>
      <c r="E8" s="9" t="n">
        <v>18</v>
      </c>
      <c r="F8" s="9" t="n">
        <v>184</v>
      </c>
      <c r="G8" s="9" t="n">
        <v>596</v>
      </c>
    </row>
    <row r="9">
      <c r="A9" s="6" t="inlineStr">
        <is>
          <t>Gross margin %</t>
        </is>
      </c>
      <c r="B9" s="10" t="n">
        <v>0.533</v>
      </c>
      <c r="C9" s="10" t="n">
        <v>0.5610000000000001</v>
      </c>
      <c r="D9" s="10" t="n">
        <v>0.604</v>
      </c>
      <c r="E9" s="10" t="n">
        <v>0.648</v>
      </c>
      <c r="F9" s="10" t="n">
        <v>0.712</v>
      </c>
      <c r="G9" s="10" t="n">
        <v>0.768</v>
      </c>
    </row>
    <row r="10">
      <c r="A10" s="8" t="inlineStr">
        <is>
          <t>Delivery cost</t>
        </is>
      </c>
      <c r="B10" s="9" t="n">
        <v>9</v>
      </c>
      <c r="C10" s="9" t="n">
        <v>12</v>
      </c>
      <c r="D10" s="9" t="n">
        <v>16</v>
      </c>
      <c r="E10" s="9" t="n">
        <v>21</v>
      </c>
      <c r="F10" s="9" t="n">
        <v>104</v>
      </c>
      <c r="G10" s="9" t="n">
        <v>196</v>
      </c>
    </row>
    <row r="11">
      <c r="A11" s="6" t="inlineStr">
        <is>
          <t>People cost</t>
        </is>
      </c>
      <c r="B11" s="7" t="n">
        <v>22</v>
      </c>
      <c r="C11" s="7" t="n">
        <v>26</v>
      </c>
      <c r="D11" s="7" t="n">
        <v>32</v>
      </c>
      <c r="E11" s="7" t="n">
        <v>40</v>
      </c>
      <c r="F11" s="7" t="n">
        <v>208</v>
      </c>
      <c r="G11" s="7" t="n">
        <v>372</v>
      </c>
    </row>
    <row r="12">
      <c r="A12" s="11" t="inlineStr">
        <is>
          <t>Gross profit</t>
        </is>
      </c>
      <c r="B12" s="12">
        <f>(B7+B8)*B9</f>
        <v/>
      </c>
      <c r="C12" s="12">
        <f>(C7+C8)*C9</f>
        <v/>
      </c>
      <c r="D12" s="12">
        <f>(D7+D8)*D9</f>
        <v/>
      </c>
      <c r="E12" s="12">
        <f>(E7+E8)*E9</f>
        <v/>
      </c>
      <c r="F12" s="12">
        <f>(F7+F8)*F9</f>
        <v/>
      </c>
      <c r="G12" s="12">
        <f>(G7+G8)*G9</f>
        <v/>
      </c>
    </row>
    <row r="13">
      <c r="A13" s="13" t="inlineStr">
        <is>
          <t>Total operating cost</t>
        </is>
      </c>
      <c r="B13" s="14">
        <f>B10+B11</f>
        <v/>
      </c>
      <c r="C13" s="14">
        <f>C10+C11</f>
        <v/>
      </c>
      <c r="D13" s="14">
        <f>D10+D11</f>
        <v/>
      </c>
      <c r="E13" s="14">
        <f>E10+E11</f>
        <v/>
      </c>
      <c r="F13" s="14">
        <f>F10+F11</f>
        <v/>
      </c>
      <c r="G13" s="14">
        <f>G10+G11</f>
        <v/>
      </c>
    </row>
    <row r="14">
      <c r="A14" s="11" t="inlineStr">
        <is>
          <t>EBITDA</t>
        </is>
      </c>
      <c r="B14" s="12">
        <f>B12-B13</f>
        <v/>
      </c>
      <c r="C14" s="12">
        <f>C12-C13</f>
        <v/>
      </c>
      <c r="D14" s="12">
        <f>D12-D13</f>
        <v/>
      </c>
      <c r="E14" s="12">
        <f>E12-E13</f>
        <v/>
      </c>
      <c r="F14" s="12">
        <f>F12-F13</f>
        <v/>
      </c>
      <c r="G14" s="12">
        <f>G12-G13</f>
        <v/>
      </c>
    </row>
    <row r="15">
      <c r="A15" s="13" t="inlineStr">
        <is>
          <t>EBITDA margin</t>
        </is>
      </c>
      <c r="B15" s="15">
        <f>IF((B7+B8)=0,0,B14/(B7+B8))</f>
        <v/>
      </c>
      <c r="C15" s="15">
        <f>IF((C7+C8)=0,0,C14/(C7+C8))</f>
        <v/>
      </c>
      <c r="D15" s="15">
        <f>IF((D7+D8)=0,0,D14/(D7+D8))</f>
        <v/>
      </c>
      <c r="E15" s="15">
        <f>IF((E7+E8)=0,0,E14/(E7+E8))</f>
        <v/>
      </c>
      <c r="F15" s="15">
        <f>IF((F7+F8)=0,0,F14/(F7+F8))</f>
        <v/>
      </c>
      <c r="G15" s="15">
        <f>IF((G7+G8)=0,0,G14/(G7+G8))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</cols>
  <sheetData>
    <row r="1">
      <c r="A1" s="1" t="inlineStr">
        <is>
          <t>Quantiva</t>
        </is>
      </c>
    </row>
    <row r="2">
      <c r="A2" s="2" t="inlineStr">
        <is>
          <t>Key assumptions</t>
        </is>
      </c>
    </row>
    <row r="3">
      <c r="A3" s="3" t="inlineStr">
        <is>
          <t>Drivers behind the model on the previous sheet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Assumption</t>
        </is>
      </c>
      <c r="B6" s="5" t="inlineStr">
        <is>
          <t>Value</t>
        </is>
      </c>
    </row>
    <row r="7">
      <c r="A7" s="6" t="inlineStr">
        <is>
          <t>Programme</t>
        </is>
      </c>
      <c r="B7" s="6" t="inlineStr">
        <is>
          <t>DEEP LEAP, Cohort 2</t>
        </is>
      </c>
    </row>
    <row r="8">
      <c r="A8" s="8" t="inlineStr">
        <is>
          <t>Paid discovery engagements</t>
        </is>
      </c>
      <c r="B8" s="8" t="inlineStr">
        <is>
          <t>2</t>
        </is>
      </c>
    </row>
    <row r="9">
      <c r="A9" s="6" t="inlineStr">
        <is>
          <t>Institutions in pipeline</t>
        </is>
      </c>
      <c r="B9" s="6" t="inlineStr">
        <is>
          <t>5</t>
        </is>
      </c>
    </row>
    <row r="10">
      <c r="A10" s="8" t="inlineStr">
        <is>
          <t>Revenue</t>
        </is>
      </c>
      <c r="B10" s="8" t="inlineStr">
        <is>
          <t>Rs 18 lakh, project based</t>
        </is>
      </c>
    </row>
    <row r="11">
      <c r="A11" s="6" t="inlineStr">
        <is>
          <t>LIVE seed assistance</t>
        </is>
      </c>
      <c r="B11" s="6" t="inlineStr">
        <is>
          <t>Rs 30 lakh</t>
        </is>
      </c>
    </row>
    <row r="12">
      <c r="A12" s="8" t="inlineStr">
        <is>
          <t>Raising</t>
        </is>
      </c>
      <c r="B12" s="8" t="inlineStr">
        <is>
          <t>Rs 3.5 crore pre seed</t>
        </is>
      </c>
    </row>
    <row r="13">
      <c r="A13" s="6" t="inlineStr">
        <is>
          <t>Team</t>
        </is>
      </c>
      <c r="B13" s="6" t="inlineStr">
        <is>
          <t>6 full time</t>
        </is>
      </c>
    </row>
    <row r="14">
      <c r="A14" s="8" t="inlineStr">
        <is>
          <t>Monthly burn</t>
        </is>
      </c>
      <c r="B14" s="8" t="inlineStr">
        <is>
          <t>Rs 9.1 lakh</t>
        </is>
      </c>
    </row>
    <row r="15">
      <c r="A15" s="6" t="inlineStr">
        <is>
          <t>Risk</t>
        </is>
      </c>
      <c r="B15" s="6" t="inlineStr">
        <is>
          <t>The regulatory deadline is anticipated, not published. Budgets may not move yet.</t>
        </is>
      </c>
    </row>
    <row r="16">
      <c r="A16" s="8" t="inlineStr">
        <is>
          <t>Risk</t>
        </is>
      </c>
      <c r="B16" s="8" t="inlineStr">
        <is>
          <t>Large security vendors could add discovery as a feature.</t>
        </is>
      </c>
    </row>
    <row r="17">
      <c r="A17" s="6" t="inlineStr">
        <is>
          <t>Risk</t>
        </is>
      </c>
      <c r="B17" s="6" t="inlineStr">
        <is>
          <t>Revenue is project shaped today and has to become recurring.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2026-08-02T10:02:24Z</dcterms:created>
  <dcterms:modified xmlns:dcterms="http://purl.org/dc/terms/" xmlns:xsi="http://www.w3.org/2001/XMLSchema-instance" xsi:type="dcterms:W3CDTF">2026-08-02T10:02:24Z</dcterms:modified>
</cp:coreProperties>
</file>