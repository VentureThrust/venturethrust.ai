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Kadal Systems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FY29, hardware and subscription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Hardware revenue</t>
        </is>
      </c>
      <c r="B7" s="7" t="n">
        <v>39</v>
      </c>
      <c r="C7" s="7" t="n">
        <v>21</v>
      </c>
      <c r="D7" s="7" t="n">
        <v>58</v>
      </c>
      <c r="E7" s="7" t="n">
        <v>72</v>
      </c>
      <c r="F7" s="7" t="n">
        <v>342</v>
      </c>
      <c r="G7" s="7" t="n">
        <v>604</v>
      </c>
    </row>
    <row r="8">
      <c r="A8" s="8" t="inlineStr">
        <is>
          <t>Subscription revenue</t>
        </is>
      </c>
      <c r="B8" s="9" t="n">
        <v>14</v>
      </c>
      <c r="C8" s="9" t="n">
        <v>16</v>
      </c>
      <c r="D8" s="9" t="n">
        <v>19</v>
      </c>
      <c r="E8" s="9" t="n">
        <v>23</v>
      </c>
      <c r="F8" s="9" t="n">
        <v>128</v>
      </c>
      <c r="G8" s="9" t="n">
        <v>284</v>
      </c>
    </row>
    <row r="9">
      <c r="A9" s="6" t="inlineStr">
        <is>
          <t>Blended gross margin %</t>
        </is>
      </c>
      <c r="B9" s="10" t="n">
        <v>0.312</v>
      </c>
      <c r="C9" s="10" t="n">
        <v>0.334</v>
      </c>
      <c r="D9" s="10" t="n">
        <v>0.348</v>
      </c>
      <c r="E9" s="10" t="n">
        <v>0.361</v>
      </c>
      <c r="F9" s="10" t="n">
        <v>0.402</v>
      </c>
      <c r="G9" s="10" t="n">
        <v>0.448</v>
      </c>
    </row>
    <row r="10">
      <c r="A10" s="8" t="inlineStr">
        <is>
          <t>Field and installation</t>
        </is>
      </c>
      <c r="B10" s="9" t="n">
        <v>12</v>
      </c>
      <c r="C10" s="9" t="n">
        <v>8</v>
      </c>
      <c r="D10" s="9" t="n">
        <v>17</v>
      </c>
      <c r="E10" s="9" t="n">
        <v>21</v>
      </c>
      <c r="F10" s="9" t="n">
        <v>92</v>
      </c>
      <c r="G10" s="9" t="n">
        <v>148</v>
      </c>
    </row>
    <row r="11">
      <c r="A11" s="6" t="inlineStr">
        <is>
          <t>People cost</t>
        </is>
      </c>
      <c r="B11" s="7" t="n">
        <v>28</v>
      </c>
      <c r="C11" s="7" t="n">
        <v>30</v>
      </c>
      <c r="D11" s="7" t="n">
        <v>34</v>
      </c>
      <c r="E11" s="7" t="n">
        <v>38</v>
      </c>
      <c r="F11" s="7" t="n">
        <v>186</v>
      </c>
      <c r="G11" s="7" t="n">
        <v>312</v>
      </c>
    </row>
    <row r="12">
      <c r="A12" s="11" t="inlineStr">
        <is>
          <t>Gross profit</t>
        </is>
      </c>
      <c r="B12" s="12">
        <f>(B7+B8)*B9</f>
        <v/>
      </c>
      <c r="C12" s="12">
        <f>(C7+C8)*C9</f>
        <v/>
      </c>
      <c r="D12" s="12">
        <f>(D7+D8)*D9</f>
        <v/>
      </c>
      <c r="E12" s="12">
        <f>(E7+E8)*E9</f>
        <v/>
      </c>
      <c r="F12" s="12">
        <f>(F7+F8)*F9</f>
        <v/>
      </c>
      <c r="G12" s="12">
        <f>(G7+G8)*G9</f>
        <v/>
      </c>
    </row>
    <row r="13">
      <c r="A13" s="13" t="inlineStr">
        <is>
          <t>Total operating cost</t>
        </is>
      </c>
      <c r="B13" s="14">
        <f>B10+B11</f>
        <v/>
      </c>
      <c r="C13" s="14">
        <f>C10+C11</f>
        <v/>
      </c>
      <c r="D13" s="14">
        <f>D10+D11</f>
        <v/>
      </c>
      <c r="E13" s="14">
        <f>E10+E11</f>
        <v/>
      </c>
      <c r="F13" s="14">
        <f>F10+F11</f>
        <v/>
      </c>
      <c r="G13" s="14">
        <f>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IF((B7+B8)=0,0,B14/(B7+B8))</f>
        <v/>
      </c>
      <c r="C15" s="15">
        <f>IF((C7+C8)=0,0,C14/(C7+C8))</f>
        <v/>
      </c>
      <c r="D15" s="15">
        <f>IF((D7+D8)=0,0,D14/(D7+D8))</f>
        <v/>
      </c>
      <c r="E15" s="15">
        <f>IF((E7+E8)=0,0,E14/(E7+E8))</f>
        <v/>
      </c>
      <c r="F15" s="15">
        <f>IF((F7+F8)=0,0,F14/(F7+F8))</f>
        <v/>
      </c>
      <c r="G15" s="15">
        <f>IF((G7+G8)=0,0,G14/(G7+G8))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</cols>
  <sheetData>
    <row r="1">
      <c r="A1" s="1" t="inlineStr">
        <is>
          <t>Kadal Systems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Units deployed</t>
        </is>
      </c>
      <c r="B7" s="6" t="inlineStr">
        <is>
          <t>3,100</t>
        </is>
      </c>
    </row>
    <row r="8">
      <c r="A8" s="8" t="inlineStr">
        <is>
          <t>Units bought at full price, no subsidy</t>
        </is>
      </c>
      <c r="B8" s="8" t="inlineStr">
        <is>
          <t>240</t>
        </is>
      </c>
    </row>
    <row r="9">
      <c r="A9" s="6" t="inlineStr">
        <is>
          <t>Units under state subsidy scheme</t>
        </is>
      </c>
      <c r="B9" s="6" t="inlineStr">
        <is>
          <t>2,860</t>
        </is>
      </c>
    </row>
    <row r="10">
      <c r="A10" s="8" t="inlineStr">
        <is>
          <t>Annual connectivity subscription</t>
        </is>
      </c>
      <c r="B10" s="8" t="inlineStr">
        <is>
          <t>Rs 1,800 per vessel</t>
        </is>
      </c>
    </row>
    <row r="11">
      <c r="A11" s="6" t="inlineStr">
        <is>
          <t>Subscription renewal rate, year 2</t>
        </is>
      </c>
      <c r="B11" s="6" t="inlineStr">
        <is>
          <t>71 percent</t>
        </is>
      </c>
    </row>
    <row r="12">
      <c r="A12" s="8" t="inlineStr">
        <is>
          <t>Distress alerts relayed</t>
        </is>
      </c>
      <c r="B12" s="8" t="inlineStr">
        <is>
          <t>37, including 9 rescues</t>
        </is>
      </c>
    </row>
    <row r="13">
      <c r="A13" s="6" t="inlineStr">
        <is>
          <t>Hardware gross margin</t>
        </is>
      </c>
      <c r="B13" s="6" t="inlineStr">
        <is>
          <t>31 percent</t>
        </is>
      </c>
    </row>
    <row r="14">
      <c r="A14" s="8" t="inlineStr">
        <is>
          <t>Monthly burn</t>
        </is>
      </c>
      <c r="B14" s="8" t="inlineStr">
        <is>
          <t>Rs 8.1 lakh</t>
        </is>
      </c>
    </row>
    <row r="15">
      <c r="A15" s="6" t="inlineStr">
        <is>
          <t>Risk</t>
        </is>
      </c>
      <c r="B15" s="6" t="inlineStr">
        <is>
          <t>Almost all demand to date came through a state subsidy scheme with an annual budget cycle.</t>
        </is>
      </c>
    </row>
    <row r="16">
      <c r="A16" s="8" t="inlineStr">
        <is>
          <t>Risk</t>
        </is>
      </c>
      <c r="B16" s="8" t="inlineStr">
        <is>
          <t>Satellite airtime is bought from a single provider on a one year contract.</t>
        </is>
      </c>
    </row>
    <row r="17">
      <c r="A17" s="6" t="inlineStr">
        <is>
          <t>Risk</t>
        </is>
      </c>
      <c r="B17" s="6" t="inlineStr">
        <is>
          <t>Monsoon months, June to August, are close to zero for new installations.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2026-07-31T13:06:38Z</dcterms:created>
  <dcterms:modified xmlns:dcterms="http://purl.org/dc/terms/" xmlns:xsi="http://www.w3.org/2001/XMLSchema-instance" xsi:type="dcterms:W3CDTF">2026-07-31T13:06:38Z</dcterms:modified>
</cp:coreProperties>
</file>