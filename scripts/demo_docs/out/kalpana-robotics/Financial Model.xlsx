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Kalpana Robotics</t>
        </is>
      </c>
    </row>
    <row r="2">
      <c r="A2" s="2" t="inlineStr">
        <is>
          <t>Financial Model</t>
        </is>
      </c>
    </row>
    <row r="3">
      <c r="A3" s="3" t="inlineStr">
        <is>
          <t>Term by term build, FY27 to FY29, college and student driven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College fee revenue</t>
        </is>
      </c>
      <c r="B7" s="7" t="n">
        <v>62</v>
      </c>
      <c r="C7" s="7" t="n">
        <v>74</v>
      </c>
      <c r="D7" s="7" t="n">
        <v>92</v>
      </c>
      <c r="E7" s="7" t="n">
        <v>112</v>
      </c>
      <c r="F7" s="7" t="n">
        <v>604</v>
      </c>
      <c r="G7" s="7" t="n">
        <v>1180</v>
      </c>
    </row>
    <row r="8">
      <c r="A8" s="8" t="inlineStr">
        <is>
          <t>Employer hiring fee revenue</t>
        </is>
      </c>
      <c r="B8" s="9" t="n">
        <v>8</v>
      </c>
      <c r="C8" s="9" t="n">
        <v>11</v>
      </c>
      <c r="D8" s="9" t="n">
        <v>15</v>
      </c>
      <c r="E8" s="9" t="n">
        <v>20</v>
      </c>
      <c r="F8" s="9" t="n">
        <v>128</v>
      </c>
      <c r="G8" s="9" t="n">
        <v>296</v>
      </c>
    </row>
    <row r="9">
      <c r="A9" s="6" t="inlineStr">
        <is>
          <t>Gross margin %</t>
        </is>
      </c>
      <c r="B9" s="10" t="n">
        <v>0.346</v>
      </c>
      <c r="C9" s="10" t="n">
        <v>0.362</v>
      </c>
      <c r="D9" s="10" t="n">
        <v>0.381</v>
      </c>
      <c r="E9" s="10" t="n">
        <v>0.398</v>
      </c>
      <c r="F9" s="10" t="n">
        <v>0.436</v>
      </c>
      <c r="G9" s="10" t="n">
        <v>0.472</v>
      </c>
    </row>
    <row r="10">
      <c r="A10" s="8" t="inlineStr">
        <is>
          <t>Lab kit and logistics</t>
        </is>
      </c>
      <c r="B10" s="9" t="n">
        <v>14</v>
      </c>
      <c r="C10" s="9" t="n">
        <v>17</v>
      </c>
      <c r="D10" s="9" t="n">
        <v>21</v>
      </c>
      <c r="E10" s="9" t="n">
        <v>26</v>
      </c>
      <c r="F10" s="9" t="n">
        <v>118</v>
      </c>
      <c r="G10" s="9" t="n">
        <v>208</v>
      </c>
    </row>
    <row r="11">
      <c r="A11" s="6" t="inlineStr">
        <is>
          <t>People cost</t>
        </is>
      </c>
      <c r="B11" s="7" t="n">
        <v>42</v>
      </c>
      <c r="C11" s="7" t="n">
        <v>48</v>
      </c>
      <c r="D11" s="7" t="n">
        <v>57</v>
      </c>
      <c r="E11" s="7" t="n">
        <v>68</v>
      </c>
      <c r="F11" s="7" t="n">
        <v>338</v>
      </c>
      <c r="G11" s="7" t="n">
        <v>588</v>
      </c>
    </row>
    <row r="12">
      <c r="A12" s="11" t="inlineStr">
        <is>
          <t>Gross profit</t>
        </is>
      </c>
      <c r="B12" s="12">
        <f>(B7+B8)*B9</f>
        <v/>
      </c>
      <c r="C12" s="12">
        <f>(C7+C8)*C9</f>
        <v/>
      </c>
      <c r="D12" s="12">
        <f>(D7+D8)*D9</f>
        <v/>
      </c>
      <c r="E12" s="12">
        <f>(E7+E8)*E9</f>
        <v/>
      </c>
      <c r="F12" s="12">
        <f>(F7+F8)*F9</f>
        <v/>
      </c>
      <c r="G12" s="12">
        <f>(G7+G8)*G9</f>
        <v/>
      </c>
    </row>
    <row r="13">
      <c r="A13" s="13" t="inlineStr">
        <is>
          <t>Total operating cost</t>
        </is>
      </c>
      <c r="B13" s="14">
        <f>B10+B11</f>
        <v/>
      </c>
      <c r="C13" s="14">
        <f>C10+C11</f>
        <v/>
      </c>
      <c r="D13" s="14">
        <f>D10+D11</f>
        <v/>
      </c>
      <c r="E13" s="14">
        <f>E10+E11</f>
        <v/>
      </c>
      <c r="F13" s="14">
        <f>F10+F11</f>
        <v/>
      </c>
      <c r="G13" s="14">
        <f>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IF((B7+B8)=0,0,B14/(B7+B8))</f>
        <v/>
      </c>
      <c r="C15" s="15">
        <f>IF((C7+C8)=0,0,C14/(C7+C8))</f>
        <v/>
      </c>
      <c r="D15" s="15">
        <f>IF((D7+D8)=0,0,D14/(D7+D8))</f>
        <v/>
      </c>
      <c r="E15" s="15">
        <f>IF((E7+E8)=0,0,E14/(E7+E8))</f>
        <v/>
      </c>
      <c r="F15" s="15">
        <f>IF((F7+F8)=0,0,F14/(F7+F8))</f>
        <v/>
      </c>
      <c r="G15" s="15">
        <f>IF((G7+G8)=0,0,G14/(G7+G8))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1" t="inlineStr">
        <is>
          <t>Kalpana Robotics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Contracted ARR, July 2026</t>
        </is>
      </c>
      <c r="B7" s="6" t="inlineStr">
        <is>
          <t>Rs 2.06 crore</t>
        </is>
      </c>
    </row>
    <row r="8">
      <c r="A8" s="8" t="inlineStr">
        <is>
          <t>Colleges under contract</t>
        </is>
      </c>
      <c r="B8" s="8" t="inlineStr">
        <is>
          <t>34, across Kerala and Tamil Nadu</t>
        </is>
      </c>
    </row>
    <row r="9">
      <c r="A9" s="6" t="inlineStr">
        <is>
          <t>Students trained to date</t>
        </is>
      </c>
      <c r="B9" s="6" t="inlineStr">
        <is>
          <t>4,820</t>
        </is>
      </c>
    </row>
    <row r="10">
      <c r="A10" s="8" t="inlineStr">
        <is>
          <t>Placement rate on the placement track</t>
        </is>
      </c>
      <c r="B10" s="8" t="inlineStr">
        <is>
          <t>71 percent within 6 months</t>
        </is>
      </c>
    </row>
    <row r="11">
      <c r="A11" s="6" t="inlineStr">
        <is>
          <t>Median first salary</t>
        </is>
      </c>
      <c r="B11" s="6" t="inlineStr">
        <is>
          <t>Rs 4.6 lakh, up from a Rs 2.8 lakh campus baseline</t>
        </is>
      </c>
    </row>
    <row r="12">
      <c r="A12" s="8" t="inlineStr">
        <is>
          <t>Employer partners hiring</t>
        </is>
      </c>
      <c r="B12" s="8" t="inlineStr">
        <is>
          <t>46</t>
        </is>
      </c>
    </row>
    <row r="13">
      <c r="A13" s="6" t="inlineStr">
        <is>
          <t>College renewal rate</t>
        </is>
      </c>
      <c r="B13" s="6" t="inlineStr">
        <is>
          <t>88 percent</t>
        </is>
      </c>
    </row>
    <row r="14">
      <c r="A14" s="8" t="inlineStr">
        <is>
          <t>Monthly burn</t>
        </is>
      </c>
      <c r="B14" s="8" t="inlineStr">
        <is>
          <t>Rs 12.4 lakh</t>
        </is>
      </c>
    </row>
    <row r="15">
      <c r="A15" s="6" t="inlineStr">
        <is>
          <t>Risk</t>
        </is>
      </c>
      <c r="B15" s="6" t="inlineStr">
        <is>
          <t>College budgets are set once a year and a bad placement season costs several renewals at once.</t>
        </is>
      </c>
    </row>
    <row r="16">
      <c r="A16" s="8" t="inlineStr">
        <is>
          <t>Risk</t>
        </is>
      </c>
      <c r="B16" s="8" t="inlineStr">
        <is>
          <t>Placement rate is the product. Any hiring slowdown in electronics hits the headline number directly.</t>
        </is>
      </c>
    </row>
    <row r="17">
      <c r="A17" s="6" t="inlineStr">
        <is>
          <t>Risk</t>
        </is>
      </c>
      <c r="B17" s="6" t="inlineStr">
        <is>
          <t>Trainer recruitment in tier 2 towns is slow and is the current growth constraint.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2026-07-31T13:06:39Z</dcterms:created>
  <dcterms:modified xmlns:dcterms="http://purl.org/dc/terms/" xmlns:xsi="http://www.w3.org/2001/XMLSchema-instance" xsi:type="dcterms:W3CDTF">2026-07-31T13:06:39Z</dcterms:modified>
</cp:coreProperties>
</file>