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Loopwise</t>
        </is>
      </c>
    </row>
    <row r="2">
      <c r="A2" s="2" t="inlineStr">
        <is>
          <t>Financial Model</t>
        </is>
      </c>
    </row>
    <row r="3">
      <c r="A3" s="3" t="inlineStr">
        <is>
          <t>Quarterly build, FY27 to FY29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Subscription revenue</t>
        </is>
      </c>
      <c r="B7" s="7" t="n">
        <v>58</v>
      </c>
      <c r="C7" s="7" t="n">
        <v>76</v>
      </c>
      <c r="D7" s="7" t="n">
        <v>98</v>
      </c>
      <c r="E7" s="7" t="n">
        <v>126</v>
      </c>
      <c r="F7" s="7" t="n">
        <v>704</v>
      </c>
      <c r="G7" s="7" t="n">
        <v>1520</v>
      </c>
    </row>
    <row r="8">
      <c r="A8" s="8" t="inlineStr">
        <is>
          <t>Gross margin %</t>
        </is>
      </c>
      <c r="B8" s="9" t="n">
        <v>0.8110000000000001</v>
      </c>
      <c r="C8" s="9" t="n">
        <v>0.8179999999999999</v>
      </c>
      <c r="D8" s="9" t="n">
        <v>0.826</v>
      </c>
      <c r="E8" s="9" t="n">
        <v>0.833</v>
      </c>
      <c r="F8" s="9" t="n">
        <v>0.848</v>
      </c>
      <c r="G8" s="9" t="n">
        <v>0.862</v>
      </c>
    </row>
    <row r="9">
      <c r="A9" s="6" t="inlineStr">
        <is>
          <t>Infrastructure</t>
        </is>
      </c>
      <c r="B9" s="7" t="n">
        <v>8</v>
      </c>
      <c r="C9" s="7" t="n">
        <v>10</v>
      </c>
      <c r="D9" s="7" t="n">
        <v>13</v>
      </c>
      <c r="E9" s="7" t="n">
        <v>17</v>
      </c>
      <c r="F9" s="7" t="n">
        <v>86</v>
      </c>
      <c r="G9" s="7" t="n">
        <v>172</v>
      </c>
    </row>
    <row r="10">
      <c r="A10" s="8" t="inlineStr">
        <is>
          <t>People cost</t>
        </is>
      </c>
      <c r="B10" s="10" t="n">
        <v>42</v>
      </c>
      <c r="C10" s="10" t="n">
        <v>49</v>
      </c>
      <c r="D10" s="10" t="n">
        <v>59</v>
      </c>
      <c r="E10" s="10" t="n">
        <v>72</v>
      </c>
      <c r="F10" s="10" t="n">
        <v>372</v>
      </c>
      <c r="G10" s="10" t="n">
        <v>648</v>
      </c>
    </row>
    <row r="11">
      <c r="A11" s="6" t="inlineStr">
        <is>
          <t>Sales and marketing</t>
        </is>
      </c>
      <c r="B11" s="7" t="n">
        <v>18</v>
      </c>
      <c r="C11" s="7" t="n">
        <v>24</v>
      </c>
      <c r="D11" s="7" t="n">
        <v>32</v>
      </c>
      <c r="E11" s="7" t="n">
        <v>42</v>
      </c>
      <c r="F11" s="7" t="n">
        <v>236</v>
      </c>
      <c r="G11" s="7" t="n">
        <v>486</v>
      </c>
    </row>
    <row r="12">
      <c r="A12" s="11" t="inlineStr">
        <is>
          <t>Gross profit</t>
        </is>
      </c>
      <c r="B12" s="12">
        <f>(B7)*B8</f>
        <v/>
      </c>
      <c r="C12" s="12">
        <f>(C7)*C8</f>
        <v/>
      </c>
      <c r="D12" s="12">
        <f>(D7)*D8</f>
        <v/>
      </c>
      <c r="E12" s="12">
        <f>(E7)*E8</f>
        <v/>
      </c>
      <c r="F12" s="12">
        <f>(F7)*F8</f>
        <v/>
      </c>
      <c r="G12" s="12">
        <f>(G7)*G8</f>
        <v/>
      </c>
    </row>
    <row r="13">
      <c r="A13" s="13" t="inlineStr">
        <is>
          <t>Total operating cost</t>
        </is>
      </c>
      <c r="B13" s="14">
        <f>B9+B10+B11</f>
        <v/>
      </c>
      <c r="C13" s="14">
        <f>C9+C10+C11</f>
        <v/>
      </c>
      <c r="D13" s="14">
        <f>D9+D10+D11</f>
        <v/>
      </c>
      <c r="E13" s="14">
        <f>E9+E10+E11</f>
        <v/>
      </c>
      <c r="F13" s="14">
        <f>F9+F10+F11</f>
        <v/>
      </c>
      <c r="G13" s="14">
        <f>G9+G10+G11</f>
        <v/>
      </c>
    </row>
    <row r="14">
      <c r="A14" s="11" t="inlineStr">
        <is>
          <t>EBITDA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</row>
    <row r="15">
      <c r="A15" s="13" t="inlineStr">
        <is>
          <t>EBITDA margin</t>
        </is>
      </c>
      <c r="B15" s="15">
        <f>IF((B7)=0,0,B14/(B7))</f>
        <v/>
      </c>
      <c r="C15" s="15">
        <f>IF((C7)=0,0,C14/(C7))</f>
        <v/>
      </c>
      <c r="D15" s="15">
        <f>IF((D7)=0,0,D14/(D7))</f>
        <v/>
      </c>
      <c r="E15" s="15">
        <f>IF((E7)=0,0,E14/(E7))</f>
        <v/>
      </c>
      <c r="F15" s="15">
        <f>IF((F7)=0,0,F14/(F7))</f>
        <v/>
      </c>
      <c r="G15" s="15">
        <f>IF((G7)=0,0,G14/(G7))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</cols>
  <sheetData>
    <row r="1">
      <c r="A1" s="1" t="inlineStr">
        <is>
          <t>Loopwise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ARR, July 2026</t>
        </is>
      </c>
      <c r="B7" s="6" t="inlineStr">
        <is>
          <t>Rs 1.94 crore</t>
        </is>
      </c>
    </row>
    <row r="8">
      <c r="A8" s="8" t="inlineStr">
        <is>
          <t>Paying brands</t>
        </is>
      </c>
      <c r="B8" s="8" t="inlineStr">
        <is>
          <t>68</t>
        </is>
      </c>
    </row>
    <row r="9">
      <c r="A9" s="6" t="inlineStr">
        <is>
          <t>Net revenue retention</t>
        </is>
      </c>
      <c r="B9" s="6" t="inlineStr">
        <is>
          <t>127 percent</t>
        </is>
      </c>
    </row>
    <row r="10">
      <c r="A10" s="8" t="inlineStr">
        <is>
          <t>Logo churn, trailing twelve months</t>
        </is>
      </c>
      <c r="B10" s="8" t="inlineStr">
        <is>
          <t>9 percent</t>
        </is>
      </c>
    </row>
    <row r="11">
      <c r="A11" s="6" t="inlineStr">
        <is>
          <t>Average contract value</t>
        </is>
      </c>
      <c r="B11" s="6" t="inlineStr">
        <is>
          <t>Rs 2.85 lakh a year</t>
        </is>
      </c>
    </row>
    <row r="12">
      <c r="A12" s="8" t="inlineStr">
        <is>
          <t>Gross margin</t>
        </is>
      </c>
      <c r="B12" s="8" t="inlineStr">
        <is>
          <t>81 percent</t>
        </is>
      </c>
    </row>
    <row r="13">
      <c r="A13" s="6" t="inlineStr">
        <is>
          <t>CAC payback</t>
        </is>
      </c>
      <c r="B13" s="6" t="inlineStr">
        <is>
          <t>9 months</t>
        </is>
      </c>
    </row>
    <row r="14">
      <c r="A14" s="8" t="inlineStr">
        <is>
          <t>Monthly burn</t>
        </is>
      </c>
      <c r="B14" s="8" t="inlineStr">
        <is>
          <t>Rs 12.6 lakh</t>
        </is>
      </c>
    </row>
    <row r="15">
      <c r="A15" s="6" t="inlineStr">
        <is>
          <t>Risk</t>
        </is>
      </c>
      <c r="B15" s="6" t="inlineStr">
        <is>
          <t>Sixty eight brands is still small, and the top five are 22 percent of ARR.</t>
        </is>
      </c>
    </row>
    <row r="16">
      <c r="A16" s="8" t="inlineStr">
        <is>
          <t>Risk</t>
        </is>
      </c>
      <c r="B16" s="8" t="inlineStr">
        <is>
          <t>D2C marketing budgets move with funding cycles, which are tight right now.</t>
        </is>
      </c>
    </row>
    <row r="17">
      <c r="A17" s="6" t="inlineStr">
        <is>
          <t>Risk</t>
        </is>
      </c>
      <c r="B17" s="6" t="inlineStr">
        <is>
          <t>Shopify and the large marketing platforms could bundle basic retention analytics.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2026-08-03T13:27:33Z</dcterms:created>
  <dcterms:modified xmlns:dcterms="http://purl.org/dc/terms/" xmlns:xsi="http://www.w3.org/2001/XMLSchema-instance" xsi:type="dcterms:W3CDTF">2026-08-03T13:27:34Z</dcterms:modified>
</cp:coreProperties>
</file>