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" sheetId="1" state="visible" r:id="rId1"/>
    <sheet xmlns:r="http://schemas.openxmlformats.org/officeDocument/2006/relationships" name="Assump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b val="1"/>
      <color rgb="000D1B3E"/>
      <sz val="14"/>
    </font>
    <font>
      <color rgb="00374151"/>
      <sz val="11"/>
    </font>
    <font>
      <i val="1"/>
      <color rgb="006B7280"/>
      <sz val="9"/>
    </font>
    <font>
      <i val="1"/>
      <color rgb="009CA3AF"/>
      <sz val="8"/>
    </font>
    <font>
      <b val="1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D1B3E"/>
      </patternFill>
    </fill>
    <fill>
      <patternFill patternType="solid">
        <fgColor rgb="00F3F4F6"/>
      </patternFill>
    </fill>
  </fills>
  <borders count="2">
    <border>
      <left/>
      <right/>
      <top/>
      <bottom/>
      <diagonal/>
    </border>
    <border>
      <bottom style="thin">
        <color rgb="00D1D5DB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6" fillId="2" borderId="0" applyAlignment="1" pivotButton="0" quotePrefix="0" xfId="0">
      <alignment vertical="center" wrapText="1"/>
    </xf>
    <xf numFmtId="0" fontId="0" fillId="0" borderId="1" pivotButton="0" quotePrefix="0" xfId="0"/>
    <xf numFmtId="3" fontId="0" fillId="0" borderId="1" pivotButton="0" quotePrefix="0" xfId="0"/>
    <xf numFmtId="0" fontId="0" fillId="3" borderId="1" pivotButton="0" quotePrefix="0" xfId="0"/>
    <xf numFmtId="3" fontId="0" fillId="3" borderId="1" pivotButton="0" quotePrefix="0" xfId="0"/>
    <xf numFmtId="164" fontId="0" fillId="0" borderId="1" pivotButton="0" quotePrefix="0" xfId="0"/>
    <xf numFmtId="0" fontId="5" fillId="3" borderId="1" pivotButton="0" quotePrefix="0" xfId="0"/>
    <xf numFmtId="3" fontId="5" fillId="3" borderId="1" pivotButton="0" quotePrefix="0" xfId="0"/>
    <xf numFmtId="0" fontId="5" fillId="0" borderId="1" pivotButton="0" quotePrefix="0" xfId="0"/>
    <xf numFmtId="3" fontId="5" fillId="0" borderId="1" pivotButton="0" quotePrefix="0" xfId="0"/>
    <xf numFmtId="164" fontId="5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3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</cols>
  <sheetData>
    <row r="1">
      <c r="A1" s="1" t="inlineStr">
        <is>
          <t>Aegis Drone Systems</t>
        </is>
      </c>
    </row>
    <row r="2">
      <c r="A2" s="2" t="inlineStr">
        <is>
          <t>Financial Model</t>
        </is>
      </c>
    </row>
    <row r="3">
      <c r="A3" s="3" t="inlineStr">
        <is>
          <t>Quarterly build, FY27 to FY29, project and retainer mix</t>
        </is>
      </c>
    </row>
    <row r="4">
      <c r="A4" s="4" t="inlineStr">
        <is>
          <t>SAMPLE. Prepared for a VentureThrust product demonstration. Not a real company filing.</t>
        </is>
      </c>
    </row>
    <row r="6">
      <c r="A6" s="5" t="inlineStr">
        <is>
          <t>Line item (Rs lakh)</t>
        </is>
      </c>
      <c r="B6" s="5" t="inlineStr">
        <is>
          <t>Q1 FY27</t>
        </is>
      </c>
      <c r="C6" s="5" t="inlineStr">
        <is>
          <t>Q2 FY27</t>
        </is>
      </c>
      <c r="D6" s="5" t="inlineStr">
        <is>
          <t>Q3 FY27</t>
        </is>
      </c>
      <c r="E6" s="5" t="inlineStr">
        <is>
          <t>Q4 FY27</t>
        </is>
      </c>
      <c r="F6" s="5" t="inlineStr">
        <is>
          <t>FY28</t>
        </is>
      </c>
      <c r="G6" s="5" t="inlineStr">
        <is>
          <t>FY29</t>
        </is>
      </c>
    </row>
    <row r="7">
      <c r="A7" s="6" t="inlineStr">
        <is>
          <t>Project revenue</t>
        </is>
      </c>
      <c r="B7" s="7" t="n">
        <v>28</v>
      </c>
      <c r="C7" s="7" t="n">
        <v>34</v>
      </c>
      <c r="D7" s="7" t="n">
        <v>41</v>
      </c>
      <c r="E7" s="7" t="n">
        <v>48</v>
      </c>
      <c r="F7" s="7" t="n">
        <v>214</v>
      </c>
      <c r="G7" s="7" t="n">
        <v>342</v>
      </c>
    </row>
    <row r="8">
      <c r="A8" s="8" t="inlineStr">
        <is>
          <t>Retainer revenue</t>
        </is>
      </c>
      <c r="B8" s="9" t="n">
        <v>0</v>
      </c>
      <c r="C8" s="9" t="n">
        <v>9</v>
      </c>
      <c r="D8" s="9" t="n">
        <v>22</v>
      </c>
      <c r="E8" s="9" t="n">
        <v>38</v>
      </c>
      <c r="F8" s="9" t="n">
        <v>262</v>
      </c>
      <c r="G8" s="9" t="n">
        <v>618</v>
      </c>
    </row>
    <row r="9">
      <c r="A9" s="6" t="inlineStr">
        <is>
          <t>Gross margin %</t>
        </is>
      </c>
      <c r="B9" s="10" t="n">
        <v>0.423</v>
      </c>
      <c r="C9" s="10" t="n">
        <v>0.446</v>
      </c>
      <c r="D9" s="10" t="n">
        <v>0.482</v>
      </c>
      <c r="E9" s="10" t="n">
        <v>0.514</v>
      </c>
      <c r="F9" s="10" t="n">
        <v>0.5679999999999999</v>
      </c>
      <c r="G9" s="10" t="n">
        <v>0.612</v>
      </c>
    </row>
    <row r="10">
      <c r="A10" s="8" t="inlineStr">
        <is>
          <t>Fleet and maintenance</t>
        </is>
      </c>
      <c r="B10" s="9" t="n">
        <v>12</v>
      </c>
      <c r="C10" s="9" t="n">
        <v>14</v>
      </c>
      <c r="D10" s="9" t="n">
        <v>17</v>
      </c>
      <c r="E10" s="9" t="n">
        <v>20</v>
      </c>
      <c r="F10" s="9" t="n">
        <v>96</v>
      </c>
      <c r="G10" s="9" t="n">
        <v>168</v>
      </c>
    </row>
    <row r="11">
      <c r="A11" s="6" t="inlineStr">
        <is>
          <t>People cost</t>
        </is>
      </c>
      <c r="B11" s="7" t="n">
        <v>34</v>
      </c>
      <c r="C11" s="7" t="n">
        <v>39</v>
      </c>
      <c r="D11" s="7" t="n">
        <v>46</v>
      </c>
      <c r="E11" s="7" t="n">
        <v>54</v>
      </c>
      <c r="F11" s="7" t="n">
        <v>268</v>
      </c>
      <c r="G11" s="7" t="n">
        <v>452</v>
      </c>
    </row>
    <row r="12">
      <c r="A12" s="11" t="inlineStr">
        <is>
          <t>Gross profit</t>
        </is>
      </c>
      <c r="B12" s="12">
        <f>(B7+B8)*B9</f>
        <v/>
      </c>
      <c r="C12" s="12">
        <f>(C7+C8)*C9</f>
        <v/>
      </c>
      <c r="D12" s="12">
        <f>(D7+D8)*D9</f>
        <v/>
      </c>
      <c r="E12" s="12">
        <f>(E7+E8)*E9</f>
        <v/>
      </c>
      <c r="F12" s="12">
        <f>(F7+F8)*F9</f>
        <v/>
      </c>
      <c r="G12" s="12">
        <f>(G7+G8)*G9</f>
        <v/>
      </c>
    </row>
    <row r="13">
      <c r="A13" s="13" t="inlineStr">
        <is>
          <t>Total operating cost</t>
        </is>
      </c>
      <c r="B13" s="14">
        <f>B10+B11</f>
        <v/>
      </c>
      <c r="C13" s="14">
        <f>C10+C11</f>
        <v/>
      </c>
      <c r="D13" s="14">
        <f>D10+D11</f>
        <v/>
      </c>
      <c r="E13" s="14">
        <f>E10+E11</f>
        <v/>
      </c>
      <c r="F13" s="14">
        <f>F10+F11</f>
        <v/>
      </c>
      <c r="G13" s="14">
        <f>G10+G11</f>
        <v/>
      </c>
    </row>
    <row r="14">
      <c r="A14" s="11" t="inlineStr">
        <is>
          <t>EBITDA</t>
        </is>
      </c>
      <c r="B14" s="12">
        <f>B12-B13</f>
        <v/>
      </c>
      <c r="C14" s="12">
        <f>C12-C13</f>
        <v/>
      </c>
      <c r="D14" s="12">
        <f>D12-D13</f>
        <v/>
      </c>
      <c r="E14" s="12">
        <f>E12-E13</f>
        <v/>
      </c>
      <c r="F14" s="12">
        <f>F12-F13</f>
        <v/>
      </c>
      <c r="G14" s="12">
        <f>G12-G13</f>
        <v/>
      </c>
    </row>
    <row r="15">
      <c r="A15" s="13" t="inlineStr">
        <is>
          <t>EBITDA margin</t>
        </is>
      </c>
      <c r="B15" s="15">
        <f>IF((B7+B8)=0,0,B14/(B7+B8))</f>
        <v/>
      </c>
      <c r="C15" s="15">
        <f>IF((C7+C8)=0,0,C14/(C7+C8))</f>
        <v/>
      </c>
      <c r="D15" s="15">
        <f>IF((D7+D8)=0,0,D14/(D7+D8))</f>
        <v/>
      </c>
      <c r="E15" s="15">
        <f>IF((E7+E8)=0,0,E14/(E7+E8))</f>
        <v/>
      </c>
      <c r="F15" s="15">
        <f>IF((F7+F8)=0,0,F14/(F7+F8))</f>
        <v/>
      </c>
      <c r="G15" s="15">
        <f>IF((G7+G8)=0,0,G14/(G7+G8))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42" customWidth="1" min="1" max="1"/>
    <col width="46" customWidth="1" min="2" max="2"/>
  </cols>
  <sheetData>
    <row r="1">
      <c r="A1" s="1" t="inlineStr">
        <is>
          <t>Aegis Drone Systems</t>
        </is>
      </c>
    </row>
    <row r="2">
      <c r="A2" s="2" t="inlineStr">
        <is>
          <t>Key assumptions</t>
        </is>
      </c>
    </row>
    <row r="3">
      <c r="A3" s="3" t="inlineStr">
        <is>
          <t>Drivers behind the model on the previous sheet</t>
        </is>
      </c>
    </row>
    <row r="4">
      <c r="A4" s="4" t="inlineStr">
        <is>
          <t>SAMPLE. Prepared for a VentureThrust product demonstration. Not a real company filing.</t>
        </is>
      </c>
    </row>
    <row r="6">
      <c r="A6" s="5" t="inlineStr">
        <is>
          <t>Assumption</t>
        </is>
      </c>
      <c r="B6" s="5" t="inlineStr">
        <is>
          <t>Value</t>
        </is>
      </c>
    </row>
    <row r="7">
      <c r="A7" s="6" t="inlineStr">
        <is>
          <t>Revenue, FY26</t>
        </is>
      </c>
      <c r="B7" s="6" t="inlineStr">
        <is>
          <t>Rs 1.10 crore</t>
        </is>
      </c>
    </row>
    <row r="8">
      <c r="A8" s="8" t="inlineStr">
        <is>
          <t>Inspection cycles delivered</t>
        </is>
      </c>
      <c r="B8" s="8" t="inlineStr">
        <is>
          <t>46</t>
        </is>
      </c>
    </row>
    <row r="9">
      <c r="A9" s="6" t="inlineStr">
        <is>
          <t>Sites under annual retainer</t>
        </is>
      </c>
      <c r="B9" s="6" t="inlineStr">
        <is>
          <t>0 signed, 3 in negotiation</t>
        </is>
      </c>
    </row>
    <row r="10">
      <c r="A10" s="8" t="inlineStr">
        <is>
          <t>Repeat customers</t>
        </is>
      </c>
      <c r="B10" s="8" t="inlineStr">
        <is>
          <t>2 of 14</t>
        </is>
      </c>
    </row>
    <row r="11">
      <c r="A11" s="6" t="inlineStr">
        <is>
          <t>Average project value</t>
        </is>
      </c>
      <c r="B11" s="6" t="inlineStr">
        <is>
          <t>Rs 2.39 lakh</t>
        </is>
      </c>
    </row>
    <row r="12">
      <c r="A12" s="8" t="inlineStr">
        <is>
          <t>Defect detection precision, internal set</t>
        </is>
      </c>
      <c r="B12" s="8" t="inlineStr">
        <is>
          <t>88.6 percent</t>
        </is>
      </c>
    </row>
    <row r="13">
      <c r="A13" s="6" t="inlineStr">
        <is>
          <t>DGCA BVLOS status</t>
        </is>
      </c>
      <c r="B13" s="6" t="inlineStr">
        <is>
          <t>Applied 2 March 2026, pending</t>
        </is>
      </c>
    </row>
    <row r="14">
      <c r="A14" s="8" t="inlineStr">
        <is>
          <t>Monthly burn</t>
        </is>
      </c>
      <c r="B14" s="8" t="inlineStr">
        <is>
          <t>Rs 9.6 lakh</t>
        </is>
      </c>
    </row>
    <row r="15">
      <c r="A15" s="6" t="inlineStr">
        <is>
          <t>Risk</t>
        </is>
      </c>
      <c r="B15" s="6" t="inlineStr">
        <is>
          <t>Revenue is project based. Nothing recurs until a retainer is signed.</t>
        </is>
      </c>
    </row>
    <row r="16">
      <c r="A16" s="8" t="inlineStr">
        <is>
          <t>Risk</t>
        </is>
      </c>
      <c r="B16" s="8" t="inlineStr">
        <is>
          <t>BVLOS clearance gates the transmission line business, which is the largest pipeline.</t>
        </is>
      </c>
    </row>
    <row r="17">
      <c r="A17" s="6" t="inlineStr">
        <is>
          <t>Risk</t>
        </is>
      </c>
      <c r="B17" s="6" t="inlineStr">
        <is>
          <t>One airframe loss would remove roughly a third of current flying capacity.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2026-07-31T13:06:38Z</dcterms:created>
  <dcterms:modified xmlns:dcterms="http://purl.org/dc/terms/" xmlns:xsi="http://www.w3.org/2001/XMLSchema-instance" xsi:type="dcterms:W3CDTF">2026-07-31T13:06:38Z</dcterms:modified>
</cp:coreProperties>
</file>