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3" fontId="0" fillId="3" borderId="1" pivotButton="0" quotePrefix="0" xfId="0"/>
    <xf numFmtId="0" fontId="5" fillId="3" borderId="1" pivotButton="0" quotePrefix="0" xfId="0"/>
    <xf numFmtId="3" fontId="5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Metricon Interconnect</t>
        </is>
      </c>
    </row>
    <row r="2">
      <c r="A2" s="2" t="inlineStr">
        <is>
          <t>Financial Model</t>
        </is>
      </c>
    </row>
    <row r="3">
      <c r="A3" s="3" t="inlineStr">
        <is>
          <t>Quarterly build, FY27 to FY29, part number driven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 (Rs lakh)</t>
        </is>
      </c>
      <c r="B6" s="5" t="inlineStr">
        <is>
          <t>Q1 FY27</t>
        </is>
      </c>
      <c r="C6" s="5" t="inlineStr">
        <is>
          <t>Q2 FY27</t>
        </is>
      </c>
      <c r="D6" s="5" t="inlineStr">
        <is>
          <t>Q3 FY27</t>
        </is>
      </c>
      <c r="E6" s="5" t="inlineStr">
        <is>
          <t>Q4 FY27</t>
        </is>
      </c>
      <c r="F6" s="5" t="inlineStr">
        <is>
          <t>FY28</t>
        </is>
      </c>
      <c r="G6" s="5" t="inlineStr">
        <is>
          <t>FY29</t>
        </is>
      </c>
    </row>
    <row r="7">
      <c r="A7" s="6" t="inlineStr">
        <is>
          <t>Revenue</t>
        </is>
      </c>
      <c r="B7" s="7" t="n">
        <v>245</v>
      </c>
      <c r="C7" s="7" t="n">
        <v>288</v>
      </c>
      <c r="D7" s="7" t="n">
        <v>342</v>
      </c>
      <c r="E7" s="7" t="n">
        <v>404</v>
      </c>
      <c r="F7" s="7" t="n">
        <v>2140</v>
      </c>
      <c r="G7" s="7" t="n">
        <v>3860</v>
      </c>
    </row>
    <row r="8">
      <c r="A8" s="8" t="inlineStr">
        <is>
          <t>Gross margin %</t>
        </is>
      </c>
      <c r="B8" s="9" t="n">
        <v>0.221</v>
      </c>
      <c r="C8" s="9" t="n">
        <v>0.248</v>
      </c>
      <c r="D8" s="9" t="n">
        <v>0.276</v>
      </c>
      <c r="E8" s="9" t="n">
        <v>0.302</v>
      </c>
      <c r="F8" s="9" t="n">
        <v>0.348</v>
      </c>
      <c r="G8" s="9" t="n">
        <v>0.386</v>
      </c>
    </row>
    <row r="9">
      <c r="A9" s="6" t="inlineStr">
        <is>
          <t>Plant overhead</t>
        </is>
      </c>
      <c r="B9" s="7" t="n">
        <v>22</v>
      </c>
      <c r="C9" s="7" t="n">
        <v>25</v>
      </c>
      <c r="D9" s="7" t="n">
        <v>29</v>
      </c>
      <c r="E9" s="7" t="n">
        <v>34</v>
      </c>
      <c r="F9" s="7" t="n">
        <v>168</v>
      </c>
      <c r="G9" s="7" t="n">
        <v>288</v>
      </c>
    </row>
    <row r="10">
      <c r="A10" s="8" t="inlineStr">
        <is>
          <t>People cost</t>
        </is>
      </c>
      <c r="B10" s="10" t="n">
        <v>34</v>
      </c>
      <c r="C10" s="10" t="n">
        <v>39</v>
      </c>
      <c r="D10" s="10" t="n">
        <v>46</v>
      </c>
      <c r="E10" s="10" t="n">
        <v>54</v>
      </c>
      <c r="F10" s="10" t="n">
        <v>268</v>
      </c>
      <c r="G10" s="10" t="n">
        <v>452</v>
      </c>
    </row>
    <row r="11">
      <c r="A11" s="6" t="inlineStr">
        <is>
          <t>Tooling amortisation</t>
        </is>
      </c>
      <c r="B11" s="7" t="n">
        <v>9</v>
      </c>
      <c r="C11" s="7" t="n">
        <v>11</v>
      </c>
      <c r="D11" s="7" t="n">
        <v>13</v>
      </c>
      <c r="E11" s="7" t="n">
        <v>16</v>
      </c>
      <c r="F11" s="7" t="n">
        <v>78</v>
      </c>
      <c r="G11" s="7" t="n">
        <v>142</v>
      </c>
    </row>
    <row r="12">
      <c r="A12" s="11" t="inlineStr">
        <is>
          <t>Gross profit</t>
        </is>
      </c>
      <c r="B12" s="12">
        <f>(B7)*B8</f>
        <v/>
      </c>
      <c r="C12" s="12">
        <f>(C7)*C8</f>
        <v/>
      </c>
      <c r="D12" s="12">
        <f>(D7)*D8</f>
        <v/>
      </c>
      <c r="E12" s="12">
        <f>(E7)*E8</f>
        <v/>
      </c>
      <c r="F12" s="12">
        <f>(F7)*F8</f>
        <v/>
      </c>
      <c r="G12" s="12">
        <f>(G7)*G8</f>
        <v/>
      </c>
    </row>
    <row r="13">
      <c r="A13" s="13" t="inlineStr">
        <is>
          <t>Total operating cost</t>
        </is>
      </c>
      <c r="B13" s="14">
        <f>B9+B10+B11</f>
        <v/>
      </c>
      <c r="C13" s="14">
        <f>C9+C10+C11</f>
        <v/>
      </c>
      <c r="D13" s="14">
        <f>D9+D10+D11</f>
        <v/>
      </c>
      <c r="E13" s="14">
        <f>E9+E10+E11</f>
        <v/>
      </c>
      <c r="F13" s="14">
        <f>F9+F10+F11</f>
        <v/>
      </c>
      <c r="G13" s="14">
        <f>G9+G10+G11</f>
        <v/>
      </c>
    </row>
    <row r="14">
      <c r="A14" s="11" t="inlineStr">
        <is>
          <t>EBITDA</t>
        </is>
      </c>
      <c r="B14" s="12">
        <f>B12-B13</f>
        <v/>
      </c>
      <c r="C14" s="12">
        <f>C12-C13</f>
        <v/>
      </c>
      <c r="D14" s="12">
        <f>D12-D13</f>
        <v/>
      </c>
      <c r="E14" s="12">
        <f>E12-E13</f>
        <v/>
      </c>
      <c r="F14" s="12">
        <f>F12-F13</f>
        <v/>
      </c>
      <c r="G14" s="12">
        <f>G12-G13</f>
        <v/>
      </c>
    </row>
    <row r="15">
      <c r="A15" s="13" t="inlineStr">
        <is>
          <t>EBITDA margin</t>
        </is>
      </c>
      <c r="B15" s="15">
        <f>IF((B7)=0,0,B14/(B7))</f>
        <v/>
      </c>
      <c r="C15" s="15">
        <f>IF((C7)=0,0,C14/(C7))</f>
        <v/>
      </c>
      <c r="D15" s="15">
        <f>IF((D7)=0,0,D14/(D7))</f>
        <v/>
      </c>
      <c r="E15" s="15">
        <f>IF((E7)=0,0,E14/(E7))</f>
        <v/>
      </c>
      <c r="F15" s="15">
        <f>IF((F7)=0,0,F14/(F7))</f>
        <v/>
      </c>
      <c r="G15" s="15">
        <f>IF((G7)=0,0,G14/(G7))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1" customWidth="1" min="1" max="1"/>
    <col width="46" customWidth="1" min="2" max="2"/>
  </cols>
  <sheetData>
    <row r="1">
      <c r="A1" s="1" t="inlineStr">
        <is>
          <t>Metricon Interconnect</t>
        </is>
      </c>
    </row>
    <row r="2">
      <c r="A2" s="2" t="inlineStr">
        <is>
          <t>Key assumptions</t>
        </is>
      </c>
    </row>
    <row r="3">
      <c r="A3" s="3" t="inlineStr">
        <is>
          <t>Drivers behind the model on the previous sheet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Assumption</t>
        </is>
      </c>
      <c r="B6" s="5" t="inlineStr">
        <is>
          <t>Value</t>
        </is>
      </c>
    </row>
    <row r="7">
      <c r="A7" s="6" t="inlineStr">
        <is>
          <t>Revenue, FY26</t>
        </is>
      </c>
      <c r="B7" s="6" t="inlineStr">
        <is>
          <t>Rs 6.40 crore</t>
        </is>
      </c>
    </row>
    <row r="8">
      <c r="A8" s="8" t="inlineStr">
        <is>
          <t>Run rate, July 2026</t>
        </is>
      </c>
      <c r="B8" s="8" t="inlineStr">
        <is>
          <t>Rs 9.80 crore annualised</t>
        </is>
      </c>
    </row>
    <row r="9">
      <c r="A9" s="6" t="inlineStr">
        <is>
          <t>Parts approved by customers</t>
        </is>
      </c>
      <c r="B9" s="6" t="inlineStr">
        <is>
          <t>41 part numbers across 9 customers</t>
        </is>
      </c>
    </row>
    <row r="10">
      <c r="A10" s="8" t="inlineStr">
        <is>
          <t>EV share of revenue</t>
        </is>
      </c>
      <c r="B10" s="8" t="inlineStr">
        <is>
          <t>58 percent, up from 21 percent</t>
        </is>
      </c>
    </row>
    <row r="11">
      <c r="A11" s="6" t="inlineStr">
        <is>
          <t>Gross margin</t>
        </is>
      </c>
      <c r="B11" s="6" t="inlineStr">
        <is>
          <t>34 percent</t>
        </is>
      </c>
    </row>
    <row r="12">
      <c r="A12" s="8" t="inlineStr">
        <is>
          <t>Parts per million defect rate</t>
        </is>
      </c>
      <c r="B12" s="8" t="inlineStr">
        <is>
          <t>184, against a 500 customer limit</t>
        </is>
      </c>
    </row>
    <row r="13">
      <c r="A13" s="6" t="inlineStr">
        <is>
          <t>Import substitution per part</t>
        </is>
      </c>
      <c r="B13" s="6" t="inlineStr">
        <is>
          <t>22 to 31 percent below landed Chinese cost</t>
        </is>
      </c>
    </row>
    <row r="14">
      <c r="A14" s="8" t="inlineStr">
        <is>
          <t>Monthly burn</t>
        </is>
      </c>
      <c r="B14" s="8" t="inlineStr">
        <is>
          <t>Rs 9.20 lakh, EBITDA near breakeven</t>
        </is>
      </c>
    </row>
    <row r="15">
      <c r="A15" s="6" t="inlineStr">
        <is>
          <t>Risk</t>
        </is>
      </c>
      <c r="B15" s="6" t="inlineStr">
        <is>
          <t>Copper price moves straight through the P and L and contracts reprice only twice a year.</t>
        </is>
      </c>
    </row>
    <row r="16">
      <c r="A16" s="8" t="inlineStr">
        <is>
          <t>Risk</t>
        </is>
      </c>
      <c r="B16" s="8" t="inlineStr">
        <is>
          <t>Plating is outsourced to a single vendor, which is a real single point of failure.</t>
        </is>
      </c>
    </row>
    <row r="17">
      <c r="A17" s="6" t="inlineStr">
        <is>
          <t>Risk</t>
        </is>
      </c>
      <c r="B17" s="6" t="inlineStr">
        <is>
          <t>Automotive qualification takes 9 to 14 months, so growth is slow to start and hard to stop.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2026-07-31T14:04:10Z</dcterms:created>
  <dcterms:modified xmlns:dcterms="http://purl.org/dc/terms/" xmlns:xsi="http://www.w3.org/2001/XMLSchema-instance" xsi:type="dcterms:W3CDTF">2026-07-31T14:04:10Z</dcterms:modified>
</cp:coreProperties>
</file>