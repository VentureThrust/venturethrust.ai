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Thooval Studios</t>
        </is>
      </c>
    </row>
    <row r="2">
      <c r="A2" s="2" t="inlineStr">
        <is>
          <t>Financial Model</t>
        </is>
      </c>
    </row>
    <row r="3">
      <c r="A3" s="3" t="inlineStr">
        <is>
          <t>Monthly build, FY27 to FY29, delivered hours driven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Revenue</t>
        </is>
      </c>
      <c r="B7" s="7" t="n">
        <v>51</v>
      </c>
      <c r="C7" s="7" t="n">
        <v>68</v>
      </c>
      <c r="D7" s="7" t="n">
        <v>89</v>
      </c>
      <c r="E7" s="7" t="n">
        <v>114</v>
      </c>
      <c r="F7" s="7" t="n">
        <v>604</v>
      </c>
      <c r="G7" s="7" t="n">
        <v>1280</v>
      </c>
    </row>
    <row r="8">
      <c r="A8" s="8" t="inlineStr">
        <is>
          <t>Gross margin %</t>
        </is>
      </c>
      <c r="B8" s="9" t="n">
        <v>0.381</v>
      </c>
      <c r="C8" s="9" t="n">
        <v>0.396</v>
      </c>
      <c r="D8" s="9" t="n">
        <v>0.412</v>
      </c>
      <c r="E8" s="9" t="n">
        <v>0.428</v>
      </c>
      <c r="F8" s="9" t="n">
        <v>0.462</v>
      </c>
      <c r="G8" s="9" t="n">
        <v>0.494</v>
      </c>
    </row>
    <row r="9">
      <c r="A9" s="6" t="inlineStr">
        <is>
          <t>Studio and mixing</t>
        </is>
      </c>
      <c r="B9" s="7" t="n">
        <v>12</v>
      </c>
      <c r="C9" s="7" t="n">
        <v>15</v>
      </c>
      <c r="D9" s="7" t="n">
        <v>19</v>
      </c>
      <c r="E9" s="7" t="n">
        <v>24</v>
      </c>
      <c r="F9" s="7" t="n">
        <v>118</v>
      </c>
      <c r="G9" s="7" t="n">
        <v>232</v>
      </c>
    </row>
    <row r="10">
      <c r="A10" s="8" t="inlineStr">
        <is>
          <t>People cost</t>
        </is>
      </c>
      <c r="B10" s="10" t="n">
        <v>39</v>
      </c>
      <c r="C10" s="10" t="n">
        <v>45</v>
      </c>
      <c r="D10" s="10" t="n">
        <v>54</v>
      </c>
      <c r="E10" s="10" t="n">
        <v>64</v>
      </c>
      <c r="F10" s="10" t="n">
        <v>322</v>
      </c>
      <c r="G10" s="10" t="n">
        <v>566</v>
      </c>
    </row>
    <row r="11">
      <c r="A11" s="6" t="inlineStr">
        <is>
          <t>Compute and platform</t>
        </is>
      </c>
      <c r="B11" s="7" t="n">
        <v>6</v>
      </c>
      <c r="C11" s="7" t="n">
        <v>8</v>
      </c>
      <c r="D11" s="7" t="n">
        <v>10</v>
      </c>
      <c r="E11" s="7" t="n">
        <v>13</v>
      </c>
      <c r="F11" s="7" t="n">
        <v>64</v>
      </c>
      <c r="G11" s="7" t="n">
        <v>132</v>
      </c>
    </row>
    <row r="12">
      <c r="A12" s="11" t="inlineStr">
        <is>
          <t>Gross profit</t>
        </is>
      </c>
      <c r="B12" s="12">
        <f>(B7)*B8</f>
        <v/>
      </c>
      <c r="C12" s="12">
        <f>(C7)*C8</f>
        <v/>
      </c>
      <c r="D12" s="12">
        <f>(D7)*D8</f>
        <v/>
      </c>
      <c r="E12" s="12">
        <f>(E7)*E8</f>
        <v/>
      </c>
      <c r="F12" s="12">
        <f>(F7)*F8</f>
        <v/>
      </c>
      <c r="G12" s="12">
        <f>(G7)*G8</f>
        <v/>
      </c>
    </row>
    <row r="13">
      <c r="A13" s="13" t="inlineStr">
        <is>
          <t>Total operating cost</t>
        </is>
      </c>
      <c r="B13" s="14">
        <f>B9+B10+B11</f>
        <v/>
      </c>
      <c r="C13" s="14">
        <f>C9+C10+C11</f>
        <v/>
      </c>
      <c r="D13" s="14">
        <f>D9+D10+D11</f>
        <v/>
      </c>
      <c r="E13" s="14">
        <f>E9+E10+E11</f>
        <v/>
      </c>
      <c r="F13" s="14">
        <f>F9+F10+F11</f>
        <v/>
      </c>
      <c r="G13" s="14">
        <f>G9+G10+G11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IF((B7)=0,0,B14/(B7))</f>
        <v/>
      </c>
      <c r="C15" s="15">
        <f>IF((C7)=0,0,C14/(C7))</f>
        <v/>
      </c>
      <c r="D15" s="15">
        <f>IF((D7)=0,0,D14/(D7))</f>
        <v/>
      </c>
      <c r="E15" s="15">
        <f>IF((E7)=0,0,E14/(E7))</f>
        <v/>
      </c>
      <c r="F15" s="15">
        <f>IF((F7)=0,0,F14/(F7))</f>
        <v/>
      </c>
      <c r="G15" s="15">
        <f>IF((G7)=0,0,G14/(G7))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46" customWidth="1" min="2" max="2"/>
  </cols>
  <sheetData>
    <row r="1">
      <c r="A1" s="1" t="inlineStr">
        <is>
          <t>Thooval Studios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Contracted ARR, July 2026</t>
        </is>
      </c>
      <c r="B7" s="6" t="inlineStr">
        <is>
          <t>Rs 1.64 crore</t>
        </is>
      </c>
    </row>
    <row r="8">
      <c r="A8" s="8" t="inlineStr">
        <is>
          <t>Hours of content delivered</t>
        </is>
      </c>
      <c r="B8" s="8" t="inlineStr">
        <is>
          <t>4,180</t>
        </is>
      </c>
    </row>
    <row r="9">
      <c r="A9" s="6" t="inlineStr">
        <is>
          <t>Languages supported</t>
        </is>
      </c>
      <c r="B9" s="6" t="inlineStr">
        <is>
          <t>9 Indian languages plus English</t>
        </is>
      </c>
    </row>
    <row r="10">
      <c r="A10" s="8" t="inlineStr">
        <is>
          <t>Turnaround per episode hour</t>
        </is>
      </c>
      <c r="B10" s="8" t="inlineStr">
        <is>
          <t>31 hours, against an industry 6 to 9 days</t>
        </is>
      </c>
    </row>
    <row r="11">
      <c r="A11" s="6" t="inlineStr">
        <is>
          <t>Cost per finished hour</t>
        </is>
      </c>
      <c r="B11" s="6" t="inlineStr">
        <is>
          <t>Rs 38,000, against Rs 1.4 lakh traditional</t>
        </is>
      </c>
    </row>
    <row r="12">
      <c r="A12" s="8" t="inlineStr">
        <is>
          <t>Voice artists on panel</t>
        </is>
      </c>
      <c r="B12" s="8" t="inlineStr">
        <is>
          <t>90, all under consent and royalty agreements</t>
        </is>
      </c>
    </row>
    <row r="13">
      <c r="A13" s="6" t="inlineStr">
        <is>
          <t>Platform customers</t>
        </is>
      </c>
      <c r="B13" s="6" t="inlineStr">
        <is>
          <t>4 OTT platforms, 11 production houses</t>
        </is>
      </c>
    </row>
    <row r="14">
      <c r="A14" s="8" t="inlineStr">
        <is>
          <t>Monthly burn</t>
        </is>
      </c>
      <c r="B14" s="8" t="inlineStr">
        <is>
          <t>Rs 14.2 lakh</t>
        </is>
      </c>
    </row>
    <row r="15">
      <c r="A15" s="6" t="inlineStr">
        <is>
          <t>Risk</t>
        </is>
      </c>
      <c r="B15" s="6" t="inlineStr">
        <is>
          <t>Voice artist consent and royalty is the whole trust model. One dispute would be public and damaging.</t>
        </is>
      </c>
    </row>
    <row r="16">
      <c r="A16" s="8" t="inlineStr">
        <is>
          <t>Risk</t>
        </is>
      </c>
      <c r="B16" s="8" t="inlineStr">
        <is>
          <t>OTT localisation budgets are renegotiated annually and platform consolidation is a real risk.</t>
        </is>
      </c>
    </row>
    <row r="17">
      <c r="A17" s="6" t="inlineStr">
        <is>
          <t>Risk</t>
        </is>
      </c>
      <c r="B17" s="6" t="inlineStr">
        <is>
          <t>Open source speech models are improving fast, which compresses the technical moat toward creative direction.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2026-07-31T14:04:10Z</dcterms:created>
  <dcterms:modified xmlns:dcterms="http://purl.org/dc/terms/" xmlns:xsi="http://www.w3.org/2001/XMLSchema-instance" xsi:type="dcterms:W3CDTF">2026-07-31T14:04:10Z</dcterms:modified>
</cp:coreProperties>
</file>